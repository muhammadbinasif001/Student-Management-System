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hsan\Downloads\"/>
    </mc:Choice>
  </mc:AlternateContent>
  <xr:revisionPtr revIDLastSave="0" documentId="13_ncr:1_{4A858F3A-02E8-4C39-B50B-B58F73458A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Records" sheetId="1" r:id="rId1"/>
    <sheet name="Cha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K21" i="1"/>
  <c r="J21" i="1"/>
  <c r="M20" i="1"/>
  <c r="L20" i="1"/>
  <c r="K20" i="1"/>
  <c r="J20" i="1"/>
  <c r="M19" i="1"/>
  <c r="K19" i="1"/>
  <c r="L19" i="1" s="1"/>
  <c r="J19" i="1"/>
  <c r="M18" i="1"/>
  <c r="L18" i="1"/>
  <c r="K18" i="1"/>
  <c r="J18" i="1"/>
  <c r="M17" i="1"/>
  <c r="K17" i="1"/>
  <c r="L17" i="1" s="1"/>
  <c r="J17" i="1"/>
  <c r="M16" i="1"/>
  <c r="L16" i="1"/>
  <c r="K16" i="1"/>
  <c r="J16" i="1"/>
  <c r="M15" i="1"/>
  <c r="K15" i="1"/>
  <c r="L15" i="1" s="1"/>
  <c r="J15" i="1"/>
  <c r="M14" i="1"/>
  <c r="L14" i="1"/>
  <c r="K14" i="1"/>
  <c r="J14" i="1"/>
  <c r="M13" i="1"/>
  <c r="K13" i="1"/>
  <c r="L13" i="1" s="1"/>
  <c r="J13" i="1"/>
  <c r="M12" i="1"/>
  <c r="L12" i="1"/>
  <c r="K12" i="1"/>
  <c r="J12" i="1"/>
  <c r="M11" i="1"/>
  <c r="K11" i="1"/>
  <c r="L11" i="1" s="1"/>
  <c r="J11" i="1"/>
  <c r="M10" i="1"/>
  <c r="L10" i="1"/>
  <c r="K10" i="1"/>
  <c r="J10" i="1"/>
  <c r="M9" i="1"/>
  <c r="K9" i="1"/>
  <c r="L9" i="1" s="1"/>
  <c r="J9" i="1"/>
  <c r="M8" i="1"/>
  <c r="L8" i="1"/>
  <c r="K8" i="1"/>
  <c r="J8" i="1"/>
  <c r="M7" i="1"/>
  <c r="K7" i="1"/>
  <c r="L7" i="1" s="1"/>
  <c r="J7" i="1"/>
  <c r="M6" i="1"/>
  <c r="L6" i="1"/>
  <c r="K6" i="1"/>
  <c r="J6" i="1"/>
  <c r="M5" i="1"/>
  <c r="K5" i="1"/>
  <c r="L5" i="1" s="1"/>
  <c r="J5" i="1"/>
  <c r="M4" i="1"/>
  <c r="L4" i="1"/>
  <c r="K4" i="1"/>
  <c r="J4" i="1"/>
  <c r="M3" i="1"/>
  <c r="K3" i="1"/>
  <c r="L3" i="1" s="1"/>
  <c r="J3" i="1"/>
  <c r="M2" i="1"/>
  <c r="L2" i="1"/>
  <c r="K2" i="1"/>
  <c r="J2" i="1"/>
</calcChain>
</file>

<file path=xl/sharedStrings.xml><?xml version="1.0" encoding="utf-8"?>
<sst xmlns="http://schemas.openxmlformats.org/spreadsheetml/2006/main" count="33" uniqueCount="33">
  <si>
    <t>Student Name</t>
  </si>
  <si>
    <t>Roll Number</t>
  </si>
  <si>
    <t>Math GPA</t>
  </si>
  <si>
    <t>ICT GPA</t>
  </si>
  <si>
    <t>English GPA</t>
  </si>
  <si>
    <t>Math Attendance (%)</t>
  </si>
  <si>
    <t>ICT Attendance (%)</t>
  </si>
  <si>
    <t>English Attendance (%)</t>
  </si>
  <si>
    <t>Credit Hours</t>
  </si>
  <si>
    <t>Average GPA</t>
  </si>
  <si>
    <t>Attendance Status</t>
  </si>
  <si>
    <t>Remarks</t>
  </si>
  <si>
    <t>Final Decision</t>
  </si>
  <si>
    <t>Ali Khan</t>
  </si>
  <si>
    <t>Ahmed Raza</t>
  </si>
  <si>
    <t>Sara Ahmed</t>
  </si>
  <si>
    <t>Ayesha Noor</t>
  </si>
  <si>
    <t>Usman Ali</t>
  </si>
  <si>
    <t>Hassan Shah</t>
  </si>
  <si>
    <t>Fatima Zahra</t>
  </si>
  <si>
    <t>Bilal Ahmed</t>
  </si>
  <si>
    <t>Zain Malik</t>
  </si>
  <si>
    <t>Hira Khan</t>
  </si>
  <si>
    <t>Saad Iqbal</t>
  </si>
  <si>
    <t>Noor Fatima</t>
  </si>
  <si>
    <t>Hamza Ali</t>
  </si>
  <si>
    <t>Mariam Sheikh</t>
  </si>
  <si>
    <t>Danish Khan</t>
  </si>
  <si>
    <t>Iqra Malik</t>
  </si>
  <si>
    <t>Fahad Abbas</t>
  </si>
  <si>
    <t>Sana Riaz</t>
  </si>
  <si>
    <t>Adnan Hussain</t>
  </si>
  <si>
    <t>Laiba Aslam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</si>
</sst>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ill>
        <patternFill patternType="solid">
          <fgColor rgb="FF92D05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GPA of Students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'Student Records'!$J$1</c:f>
              <c:strCache>
                <c:ptCount val="1"/>
                <c:pt idx="0">
                  <c:v>Average GPA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'Student Records'!$A$2:$A$21</c:f>
              <c:strCache>
                <c:ptCount val="20"/>
                <c:pt idx="0">
                  <c:v>Ali Khan</c:v>
                </c:pt>
                <c:pt idx="1">
                  <c:v>Ahmed Raza</c:v>
                </c:pt>
                <c:pt idx="2">
                  <c:v>Sara Ahmed</c:v>
                </c:pt>
                <c:pt idx="3">
                  <c:v>Ayesha Noor</c:v>
                </c:pt>
                <c:pt idx="4">
                  <c:v>Usman Ali</c:v>
                </c:pt>
                <c:pt idx="5">
                  <c:v>Hassan Shah</c:v>
                </c:pt>
                <c:pt idx="6">
                  <c:v>Fatima Zahra</c:v>
                </c:pt>
                <c:pt idx="7">
                  <c:v>Bilal Ahmed</c:v>
                </c:pt>
                <c:pt idx="8">
                  <c:v>Zain Malik</c:v>
                </c:pt>
                <c:pt idx="9">
                  <c:v>Hira Khan</c:v>
                </c:pt>
                <c:pt idx="10">
                  <c:v>Saad Iqbal</c:v>
                </c:pt>
                <c:pt idx="11">
                  <c:v>Noor Fatima</c:v>
                </c:pt>
                <c:pt idx="12">
                  <c:v>Hamza Ali</c:v>
                </c:pt>
                <c:pt idx="13">
                  <c:v>Mariam Sheikh</c:v>
                </c:pt>
                <c:pt idx="14">
                  <c:v>Danish Khan</c:v>
                </c:pt>
                <c:pt idx="15">
                  <c:v>Iqra Malik</c:v>
                </c:pt>
                <c:pt idx="16">
                  <c:v>Fahad Abbas</c:v>
                </c:pt>
                <c:pt idx="17">
                  <c:v>Sana Riaz</c:v>
                </c:pt>
                <c:pt idx="18">
                  <c:v>Adnan Hussain</c:v>
                </c:pt>
                <c:pt idx="19">
                  <c:v>Laiba Aslam</c:v>
                </c:pt>
              </c:strCache>
            </c:strRef>
          </c:cat>
          <c:val>
            <c:numRef>
              <c:f>'Student Records'!$J$2:$J$21</c:f>
              <c:numCache>
                <c:formatCode>General</c:formatCode>
                <c:ptCount val="20"/>
                <c:pt idx="0">
                  <c:v>3.1999999999999997</c:v>
                </c:pt>
                <c:pt idx="1">
                  <c:v>2.9666666666666668</c:v>
                </c:pt>
                <c:pt idx="2">
                  <c:v>3.7999999999999994</c:v>
                </c:pt>
                <c:pt idx="3">
                  <c:v>2.7000000000000006</c:v>
                </c:pt>
                <c:pt idx="4">
                  <c:v>3.1</c:v>
                </c:pt>
                <c:pt idx="5">
                  <c:v>2.2666666666666666</c:v>
                </c:pt>
                <c:pt idx="6">
                  <c:v>3.7000000000000006</c:v>
                </c:pt>
                <c:pt idx="7">
                  <c:v>2.9333333333333336</c:v>
                </c:pt>
                <c:pt idx="8">
                  <c:v>3.2999999999999994</c:v>
                </c:pt>
                <c:pt idx="9">
                  <c:v>3.7333333333333329</c:v>
                </c:pt>
                <c:pt idx="10">
                  <c:v>2.7000000000000006</c:v>
                </c:pt>
                <c:pt idx="11">
                  <c:v>3.7666666666666671</c:v>
                </c:pt>
                <c:pt idx="12">
                  <c:v>2.4</c:v>
                </c:pt>
                <c:pt idx="13">
                  <c:v>3.5</c:v>
                </c:pt>
                <c:pt idx="14">
                  <c:v>2.8666666666666667</c:v>
                </c:pt>
                <c:pt idx="15">
                  <c:v>3.9</c:v>
                </c:pt>
                <c:pt idx="16">
                  <c:v>2.5</c:v>
                </c:pt>
                <c:pt idx="17">
                  <c:v>3.4</c:v>
                </c:pt>
                <c:pt idx="18">
                  <c:v>2.9</c:v>
                </c:pt>
                <c:pt idx="19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A-4436-9C97-DD14FBB6D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Math Attendance of Students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'Student Records'!$F$1</c:f>
              <c:strCache>
                <c:ptCount val="1"/>
                <c:pt idx="0">
                  <c:v>Math Attendance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'Student Records'!$A$2:$A$21</c:f>
              <c:strCache>
                <c:ptCount val="20"/>
                <c:pt idx="0">
                  <c:v>Ali Khan</c:v>
                </c:pt>
                <c:pt idx="1">
                  <c:v>Ahmed Raza</c:v>
                </c:pt>
                <c:pt idx="2">
                  <c:v>Sara Ahmed</c:v>
                </c:pt>
                <c:pt idx="3">
                  <c:v>Ayesha Noor</c:v>
                </c:pt>
                <c:pt idx="4">
                  <c:v>Usman Ali</c:v>
                </c:pt>
                <c:pt idx="5">
                  <c:v>Hassan Shah</c:v>
                </c:pt>
                <c:pt idx="6">
                  <c:v>Fatima Zahra</c:v>
                </c:pt>
                <c:pt idx="7">
                  <c:v>Bilal Ahmed</c:v>
                </c:pt>
                <c:pt idx="8">
                  <c:v>Zain Malik</c:v>
                </c:pt>
                <c:pt idx="9">
                  <c:v>Hira Khan</c:v>
                </c:pt>
                <c:pt idx="10">
                  <c:v>Saad Iqbal</c:v>
                </c:pt>
                <c:pt idx="11">
                  <c:v>Noor Fatima</c:v>
                </c:pt>
                <c:pt idx="12">
                  <c:v>Hamza Ali</c:v>
                </c:pt>
                <c:pt idx="13">
                  <c:v>Mariam Sheikh</c:v>
                </c:pt>
                <c:pt idx="14">
                  <c:v>Danish Khan</c:v>
                </c:pt>
                <c:pt idx="15">
                  <c:v>Iqra Malik</c:v>
                </c:pt>
                <c:pt idx="16">
                  <c:v>Fahad Abbas</c:v>
                </c:pt>
                <c:pt idx="17">
                  <c:v>Sana Riaz</c:v>
                </c:pt>
                <c:pt idx="18">
                  <c:v>Adnan Hussain</c:v>
                </c:pt>
                <c:pt idx="19">
                  <c:v>Laiba Aslam</c:v>
                </c:pt>
              </c:strCache>
            </c:strRef>
          </c:cat>
          <c:val>
            <c:numRef>
              <c:f>'Student Records'!$F$2:$F$21</c:f>
              <c:numCache>
                <c:formatCode>General</c:formatCode>
                <c:ptCount val="20"/>
                <c:pt idx="0">
                  <c:v>85</c:v>
                </c:pt>
                <c:pt idx="1">
                  <c:v>78</c:v>
                </c:pt>
                <c:pt idx="2">
                  <c:v>92</c:v>
                </c:pt>
                <c:pt idx="3">
                  <c:v>70</c:v>
                </c:pt>
                <c:pt idx="4">
                  <c:v>88</c:v>
                </c:pt>
                <c:pt idx="5">
                  <c:v>65</c:v>
                </c:pt>
                <c:pt idx="6">
                  <c:v>90</c:v>
                </c:pt>
                <c:pt idx="7">
                  <c:v>80</c:v>
                </c:pt>
                <c:pt idx="8">
                  <c:v>86</c:v>
                </c:pt>
                <c:pt idx="9">
                  <c:v>93</c:v>
                </c:pt>
                <c:pt idx="10">
                  <c:v>74</c:v>
                </c:pt>
                <c:pt idx="11">
                  <c:v>95</c:v>
                </c:pt>
                <c:pt idx="12">
                  <c:v>68</c:v>
                </c:pt>
                <c:pt idx="13">
                  <c:v>89</c:v>
                </c:pt>
                <c:pt idx="14">
                  <c:v>77</c:v>
                </c:pt>
                <c:pt idx="15">
                  <c:v>96</c:v>
                </c:pt>
                <c:pt idx="16">
                  <c:v>72</c:v>
                </c:pt>
                <c:pt idx="17">
                  <c:v>84</c:v>
                </c:pt>
                <c:pt idx="18">
                  <c:v>81</c:v>
                </c:pt>
                <c:pt idx="1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A-4E8E-8EB0-830CD826C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Attendance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EBF0E-E379-41DB-BB1E-42C9D22E8E07}" name="Table1" displayName="Table1" ref="A1:M21" totalsRowShown="0">
  <autoFilter ref="A1:M21" xr:uid="{FF5EBF0E-E379-41DB-BB1E-42C9D22E8E07}"/>
  <tableColumns count="13">
    <tableColumn id="1" xr3:uid="{5CCC4F2B-3A9E-4AAC-B376-8C58ACB43ECD}" name="Student Name"/>
    <tableColumn id="2" xr3:uid="{C86CF131-8E9B-4EFE-A085-43C32FEFA845}" name="Roll Number"/>
    <tableColumn id="3" xr3:uid="{61147D89-34DF-448B-93FA-30DB4D52998B}" name="Math GPA"/>
    <tableColumn id="4" xr3:uid="{DF119F08-0253-42D2-9215-C6B69AEB25DF}" name="ICT GPA"/>
    <tableColumn id="5" xr3:uid="{CC1625F5-1339-4FC4-9413-005739DF8C57}" name="English GPA"/>
    <tableColumn id="6" xr3:uid="{98E6A32C-31DE-4E5C-A400-7A62EF16C42D}" name="Math Attendance (%)"/>
    <tableColumn id="7" xr3:uid="{758157DB-6C52-4B50-8AAB-7AAE6DD0C170}" name="ICT Attendance (%)"/>
    <tableColumn id="8" xr3:uid="{F73C9F31-785E-4215-8DAA-5765F6B1F649}" name="English Attendance (%)"/>
    <tableColumn id="9" xr3:uid="{495E5CAF-EBC3-490C-B937-455C53CF54D7}" name="Credit Hours"/>
    <tableColumn id="10" xr3:uid="{1E5C3044-1DC0-4DB6-87E6-08445E180C4E}" name="Average GPA">
      <calculatedColumnFormula>AVERAGE(C2:E2)</calculatedColumnFormula>
    </tableColumn>
    <tableColumn id="11" xr3:uid="{B35BA1DA-C267-4244-B6BF-7D2D6F6D01C1}" name="Attendance Status">
      <calculatedColumnFormula>IF(MIN(F2:H2)&lt;75,"Short Attendance","Eligible")</calculatedColumnFormula>
    </tableColumn>
    <tableColumn id="12" xr3:uid="{7D565F5F-797B-4469-8809-8135F9CA8ECA}" name="Remarks">
      <calculatedColumnFormula>IF(J2&lt;2,"Low GPA",IF(K2="Short Attendance","Attendance Issue","Normal"))</calculatedColumnFormula>
    </tableColumn>
    <tableColumn id="13" xr3:uid="{C016AA98-4413-4379-8546-001E3989C01A}" name="Final Decision">
      <calculatedColumnFormula>IF(OR(J2&lt;2,MIN(F2:H2)&lt;75),"Discipline / Not Allowed","Allowed")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G25" sqref="G25"/>
    </sheetView>
  </sheetViews>
  <sheetFormatPr defaultRowHeight="14.4" x14ac:dyDescent="0.3"/>
  <cols>
    <col min="1" max="1" width="14.44140625" customWidth="1"/>
    <col min="2" max="2" width="13" customWidth="1"/>
    <col min="3" max="3" width="11" customWidth="1"/>
    <col min="4" max="4" width="9.33203125" customWidth="1"/>
    <col min="5" max="5" width="12.21875" customWidth="1"/>
    <col min="6" max="6" width="20" customWidth="1"/>
    <col min="7" max="7" width="18.33203125" customWidth="1"/>
    <col min="8" max="8" width="21.21875" customWidth="1"/>
    <col min="9" max="9" width="13" customWidth="1"/>
    <col min="10" max="10" width="13.21875" customWidth="1"/>
    <col min="11" max="11" width="17.6640625" customWidth="1"/>
    <col min="12" max="12" width="9.88671875" customWidth="1"/>
    <col min="13" max="13" width="14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>
        <v>3.2</v>
      </c>
      <c r="D2">
        <v>3.5</v>
      </c>
      <c r="E2">
        <v>2.9</v>
      </c>
      <c r="F2">
        <v>85</v>
      </c>
      <c r="G2">
        <v>90</v>
      </c>
      <c r="H2">
        <v>88</v>
      </c>
      <c r="I2">
        <v>15</v>
      </c>
      <c r="J2">
        <f t="shared" ref="J2:J21" si="0">AVERAGE(C2:E2)</f>
        <v>3.1999999999999997</v>
      </c>
      <c r="K2" t="str">
        <f t="shared" ref="K2:K21" si="1">IF(MIN(F2:H2)&lt;75,"Short Attendance","Eligible")</f>
        <v>Eligible</v>
      </c>
      <c r="L2" t="str">
        <f t="shared" ref="L2:L21" si="2">IF(J2&lt;2,"Low GPA",IF(K2="Short Attendance","Attendance Issue","Normal"))</f>
        <v>Normal</v>
      </c>
      <c r="M2" t="str">
        <f t="shared" ref="M2:M21" si="3">IF(OR(J2&lt;2,MIN(F2:H2)&lt;75),"Discipline / Not Allowed","Allowed")</f>
        <v>Allowed</v>
      </c>
    </row>
    <row r="3" spans="1:13" x14ac:dyDescent="0.3">
      <c r="A3" t="s">
        <v>14</v>
      </c>
      <c r="B3">
        <v>2</v>
      </c>
      <c r="C3">
        <v>2.8</v>
      </c>
      <c r="D3">
        <v>3</v>
      </c>
      <c r="E3">
        <v>3.1</v>
      </c>
      <c r="F3">
        <v>78</v>
      </c>
      <c r="G3">
        <v>82</v>
      </c>
      <c r="H3">
        <v>80</v>
      </c>
      <c r="I3">
        <v>15</v>
      </c>
      <c r="J3">
        <f t="shared" si="0"/>
        <v>2.9666666666666668</v>
      </c>
      <c r="K3" t="str">
        <f t="shared" si="1"/>
        <v>Eligible</v>
      </c>
      <c r="L3" t="str">
        <f t="shared" si="2"/>
        <v>Normal</v>
      </c>
      <c r="M3" t="str">
        <f t="shared" si="3"/>
        <v>Allowed</v>
      </c>
    </row>
    <row r="4" spans="1:13" x14ac:dyDescent="0.3">
      <c r="A4" t="s">
        <v>15</v>
      </c>
      <c r="B4">
        <v>3</v>
      </c>
      <c r="C4">
        <v>3.9</v>
      </c>
      <c r="D4">
        <v>3.8</v>
      </c>
      <c r="E4">
        <v>3.7</v>
      </c>
      <c r="F4">
        <v>92</v>
      </c>
      <c r="G4">
        <v>95</v>
      </c>
      <c r="H4">
        <v>94</v>
      </c>
      <c r="I4">
        <v>15</v>
      </c>
      <c r="J4">
        <f t="shared" si="0"/>
        <v>3.7999999999999994</v>
      </c>
      <c r="K4" t="str">
        <f t="shared" si="1"/>
        <v>Eligible</v>
      </c>
      <c r="L4" t="str">
        <f t="shared" si="2"/>
        <v>Normal</v>
      </c>
      <c r="M4" t="str">
        <f t="shared" si="3"/>
        <v>Allowed</v>
      </c>
    </row>
    <row r="5" spans="1:13" x14ac:dyDescent="0.3">
      <c r="A5" t="s">
        <v>16</v>
      </c>
      <c r="B5">
        <v>4</v>
      </c>
      <c r="C5">
        <v>2.5</v>
      </c>
      <c r="D5">
        <v>2.9</v>
      </c>
      <c r="E5">
        <v>2.7</v>
      </c>
      <c r="F5">
        <v>70</v>
      </c>
      <c r="G5">
        <v>75</v>
      </c>
      <c r="H5">
        <v>72</v>
      </c>
      <c r="I5">
        <v>15</v>
      </c>
      <c r="J5">
        <f t="shared" si="0"/>
        <v>2.7000000000000006</v>
      </c>
      <c r="K5" t="str">
        <f t="shared" si="1"/>
        <v>Short Attendance</v>
      </c>
      <c r="L5" t="str">
        <f t="shared" si="2"/>
        <v>Attendance Issue</v>
      </c>
      <c r="M5" t="str">
        <f t="shared" si="3"/>
        <v>Discipline / Not Allowed</v>
      </c>
    </row>
    <row r="6" spans="1:13" x14ac:dyDescent="0.3">
      <c r="A6" t="s">
        <v>17</v>
      </c>
      <c r="B6">
        <v>5</v>
      </c>
      <c r="C6">
        <v>3</v>
      </c>
      <c r="D6">
        <v>3.2</v>
      </c>
      <c r="E6">
        <v>3.1</v>
      </c>
      <c r="F6">
        <v>88</v>
      </c>
      <c r="G6">
        <v>85</v>
      </c>
      <c r="H6">
        <v>87</v>
      </c>
      <c r="I6">
        <v>15</v>
      </c>
      <c r="J6">
        <f t="shared" si="0"/>
        <v>3.1</v>
      </c>
      <c r="K6" t="str">
        <f t="shared" si="1"/>
        <v>Eligible</v>
      </c>
      <c r="L6" t="str">
        <f t="shared" si="2"/>
        <v>Normal</v>
      </c>
      <c r="M6" t="str">
        <f t="shared" si="3"/>
        <v>Allowed</v>
      </c>
    </row>
    <row r="7" spans="1:13" x14ac:dyDescent="0.3">
      <c r="A7" t="s">
        <v>18</v>
      </c>
      <c r="B7">
        <v>6</v>
      </c>
      <c r="C7">
        <v>2.1</v>
      </c>
      <c r="D7">
        <v>2.4</v>
      </c>
      <c r="E7">
        <v>2.2999999999999998</v>
      </c>
      <c r="F7">
        <v>65</v>
      </c>
      <c r="G7">
        <v>68</v>
      </c>
      <c r="H7">
        <v>70</v>
      </c>
      <c r="I7">
        <v>15</v>
      </c>
      <c r="J7">
        <f t="shared" si="0"/>
        <v>2.2666666666666666</v>
      </c>
      <c r="K7" t="str">
        <f t="shared" si="1"/>
        <v>Short Attendance</v>
      </c>
      <c r="L7" t="str">
        <f t="shared" si="2"/>
        <v>Attendance Issue</v>
      </c>
      <c r="M7" t="str">
        <f t="shared" si="3"/>
        <v>Discipline / Not Allowed</v>
      </c>
    </row>
    <row r="8" spans="1:13" x14ac:dyDescent="0.3">
      <c r="A8" t="s">
        <v>19</v>
      </c>
      <c r="B8">
        <v>7</v>
      </c>
      <c r="C8">
        <v>3.6</v>
      </c>
      <c r="D8">
        <v>3.7</v>
      </c>
      <c r="E8">
        <v>3.8</v>
      </c>
      <c r="F8">
        <v>90</v>
      </c>
      <c r="G8">
        <v>92</v>
      </c>
      <c r="H8">
        <v>91</v>
      </c>
      <c r="I8">
        <v>15</v>
      </c>
      <c r="J8">
        <f t="shared" si="0"/>
        <v>3.7000000000000006</v>
      </c>
      <c r="K8" t="str">
        <f t="shared" si="1"/>
        <v>Eligible</v>
      </c>
      <c r="L8" t="str">
        <f t="shared" si="2"/>
        <v>Normal</v>
      </c>
      <c r="M8" t="str">
        <f t="shared" si="3"/>
        <v>Allowed</v>
      </c>
    </row>
    <row r="9" spans="1:13" x14ac:dyDescent="0.3">
      <c r="A9" t="s">
        <v>20</v>
      </c>
      <c r="B9">
        <v>8</v>
      </c>
      <c r="C9">
        <v>2.9</v>
      </c>
      <c r="D9">
        <v>3.1</v>
      </c>
      <c r="E9">
        <v>2.8</v>
      </c>
      <c r="F9">
        <v>80</v>
      </c>
      <c r="G9">
        <v>83</v>
      </c>
      <c r="H9">
        <v>79</v>
      </c>
      <c r="I9">
        <v>15</v>
      </c>
      <c r="J9">
        <f t="shared" si="0"/>
        <v>2.9333333333333336</v>
      </c>
      <c r="K9" t="str">
        <f t="shared" si="1"/>
        <v>Eligible</v>
      </c>
      <c r="L9" t="str">
        <f t="shared" si="2"/>
        <v>Normal</v>
      </c>
      <c r="M9" t="str">
        <f t="shared" si="3"/>
        <v>Allowed</v>
      </c>
    </row>
    <row r="10" spans="1:13" x14ac:dyDescent="0.3">
      <c r="A10" t="s">
        <v>21</v>
      </c>
      <c r="B10">
        <v>9</v>
      </c>
      <c r="C10">
        <v>3.4</v>
      </c>
      <c r="D10">
        <v>3.3</v>
      </c>
      <c r="E10">
        <v>3.2</v>
      </c>
      <c r="F10">
        <v>86</v>
      </c>
      <c r="G10">
        <v>88</v>
      </c>
      <c r="H10">
        <v>85</v>
      </c>
      <c r="I10">
        <v>15</v>
      </c>
      <c r="J10">
        <f t="shared" si="0"/>
        <v>3.2999999999999994</v>
      </c>
      <c r="K10" t="str">
        <f t="shared" si="1"/>
        <v>Eligible</v>
      </c>
      <c r="L10" t="str">
        <f t="shared" si="2"/>
        <v>Normal</v>
      </c>
      <c r="M10" t="str">
        <f t="shared" si="3"/>
        <v>Allowed</v>
      </c>
    </row>
    <row r="11" spans="1:13" x14ac:dyDescent="0.3">
      <c r="A11" t="s">
        <v>22</v>
      </c>
      <c r="B11">
        <v>10</v>
      </c>
      <c r="C11">
        <v>3.7</v>
      </c>
      <c r="D11">
        <v>3.9</v>
      </c>
      <c r="E11">
        <v>3.6</v>
      </c>
      <c r="F11">
        <v>93</v>
      </c>
      <c r="G11">
        <v>94</v>
      </c>
      <c r="H11">
        <v>92</v>
      </c>
      <c r="I11">
        <v>15</v>
      </c>
      <c r="J11">
        <f t="shared" si="0"/>
        <v>3.7333333333333329</v>
      </c>
      <c r="K11" t="str">
        <f t="shared" si="1"/>
        <v>Eligible</v>
      </c>
      <c r="L11" t="str">
        <f t="shared" si="2"/>
        <v>Normal</v>
      </c>
      <c r="M11" t="str">
        <f t="shared" si="3"/>
        <v>Allowed</v>
      </c>
    </row>
    <row r="12" spans="1:13" x14ac:dyDescent="0.3">
      <c r="A12" t="s">
        <v>23</v>
      </c>
      <c r="B12">
        <v>11</v>
      </c>
      <c r="C12">
        <v>2.6</v>
      </c>
      <c r="D12">
        <v>2.8</v>
      </c>
      <c r="E12">
        <v>2.7</v>
      </c>
      <c r="F12">
        <v>74</v>
      </c>
      <c r="G12">
        <v>76</v>
      </c>
      <c r="H12">
        <v>75</v>
      </c>
      <c r="I12">
        <v>15</v>
      </c>
      <c r="J12">
        <f t="shared" si="0"/>
        <v>2.7000000000000006</v>
      </c>
      <c r="K12" t="str">
        <f t="shared" si="1"/>
        <v>Short Attendance</v>
      </c>
      <c r="L12" t="str">
        <f t="shared" si="2"/>
        <v>Attendance Issue</v>
      </c>
      <c r="M12" t="str">
        <f t="shared" si="3"/>
        <v>Discipline / Not Allowed</v>
      </c>
    </row>
    <row r="13" spans="1:13" x14ac:dyDescent="0.3">
      <c r="A13" t="s">
        <v>24</v>
      </c>
      <c r="B13">
        <v>12</v>
      </c>
      <c r="C13">
        <v>3.8</v>
      </c>
      <c r="D13">
        <v>3.6</v>
      </c>
      <c r="E13">
        <v>3.9</v>
      </c>
      <c r="F13">
        <v>95</v>
      </c>
      <c r="G13">
        <v>93</v>
      </c>
      <c r="H13">
        <v>96</v>
      </c>
      <c r="I13">
        <v>15</v>
      </c>
      <c r="J13">
        <f t="shared" si="0"/>
        <v>3.7666666666666671</v>
      </c>
      <c r="K13" t="str">
        <f t="shared" si="1"/>
        <v>Eligible</v>
      </c>
      <c r="L13" t="str">
        <f t="shared" si="2"/>
        <v>Normal</v>
      </c>
      <c r="M13" t="str">
        <f t="shared" si="3"/>
        <v>Allowed</v>
      </c>
    </row>
    <row r="14" spans="1:13" x14ac:dyDescent="0.3">
      <c r="A14" t="s">
        <v>25</v>
      </c>
      <c r="B14">
        <v>13</v>
      </c>
      <c r="C14">
        <v>2.2999999999999998</v>
      </c>
      <c r="D14">
        <v>2.5</v>
      </c>
      <c r="E14">
        <v>2.4</v>
      </c>
      <c r="F14">
        <v>68</v>
      </c>
      <c r="G14">
        <v>70</v>
      </c>
      <c r="H14">
        <v>69</v>
      </c>
      <c r="I14">
        <v>15</v>
      </c>
      <c r="J14">
        <f t="shared" si="0"/>
        <v>2.4</v>
      </c>
      <c r="K14" t="str">
        <f t="shared" si="1"/>
        <v>Short Attendance</v>
      </c>
      <c r="L14" t="str">
        <f t="shared" si="2"/>
        <v>Attendance Issue</v>
      </c>
      <c r="M14" t="str">
        <f t="shared" si="3"/>
        <v>Discipline / Not Allowed</v>
      </c>
    </row>
    <row r="15" spans="1:13" x14ac:dyDescent="0.3">
      <c r="A15" t="s">
        <v>26</v>
      </c>
      <c r="B15">
        <v>14</v>
      </c>
      <c r="C15">
        <v>3.5</v>
      </c>
      <c r="D15">
        <v>3.4</v>
      </c>
      <c r="E15">
        <v>3.6</v>
      </c>
      <c r="F15">
        <v>89</v>
      </c>
      <c r="G15">
        <v>87</v>
      </c>
      <c r="H15">
        <v>90</v>
      </c>
      <c r="I15">
        <v>15</v>
      </c>
      <c r="J15">
        <f t="shared" si="0"/>
        <v>3.5</v>
      </c>
      <c r="K15" t="str">
        <f t="shared" si="1"/>
        <v>Eligible</v>
      </c>
      <c r="L15" t="str">
        <f t="shared" si="2"/>
        <v>Normal</v>
      </c>
      <c r="M15" t="str">
        <f t="shared" si="3"/>
        <v>Allowed</v>
      </c>
    </row>
    <row r="16" spans="1:13" x14ac:dyDescent="0.3">
      <c r="A16" t="s">
        <v>27</v>
      </c>
      <c r="B16">
        <v>15</v>
      </c>
      <c r="C16">
        <v>2.7</v>
      </c>
      <c r="D16">
        <v>2.9</v>
      </c>
      <c r="E16">
        <v>3</v>
      </c>
      <c r="F16">
        <v>77</v>
      </c>
      <c r="G16">
        <v>79</v>
      </c>
      <c r="H16">
        <v>78</v>
      </c>
      <c r="I16">
        <v>15</v>
      </c>
      <c r="J16">
        <f t="shared" si="0"/>
        <v>2.8666666666666667</v>
      </c>
      <c r="K16" t="str">
        <f t="shared" si="1"/>
        <v>Eligible</v>
      </c>
      <c r="L16" t="str">
        <f t="shared" si="2"/>
        <v>Normal</v>
      </c>
      <c r="M16" t="str">
        <f t="shared" si="3"/>
        <v>Allowed</v>
      </c>
    </row>
    <row r="17" spans="1:13" x14ac:dyDescent="0.3">
      <c r="A17" t="s">
        <v>28</v>
      </c>
      <c r="B17">
        <v>16</v>
      </c>
      <c r="C17">
        <v>3.9</v>
      </c>
      <c r="D17">
        <v>3.8</v>
      </c>
      <c r="E17">
        <v>4</v>
      </c>
      <c r="F17">
        <v>96</v>
      </c>
      <c r="G17">
        <v>95</v>
      </c>
      <c r="H17">
        <v>97</v>
      </c>
      <c r="I17">
        <v>15</v>
      </c>
      <c r="J17">
        <f t="shared" si="0"/>
        <v>3.9</v>
      </c>
      <c r="K17" t="str">
        <f t="shared" si="1"/>
        <v>Eligible</v>
      </c>
      <c r="L17" t="str">
        <f t="shared" si="2"/>
        <v>Normal</v>
      </c>
      <c r="M17" t="str">
        <f t="shared" si="3"/>
        <v>Allowed</v>
      </c>
    </row>
    <row r="18" spans="1:13" x14ac:dyDescent="0.3">
      <c r="A18" t="s">
        <v>29</v>
      </c>
      <c r="B18">
        <v>17</v>
      </c>
      <c r="C18">
        <v>2.4</v>
      </c>
      <c r="D18">
        <v>2.6</v>
      </c>
      <c r="E18">
        <v>2.5</v>
      </c>
      <c r="F18">
        <v>72</v>
      </c>
      <c r="G18">
        <v>73</v>
      </c>
      <c r="H18">
        <v>74</v>
      </c>
      <c r="I18">
        <v>15</v>
      </c>
      <c r="J18">
        <f t="shared" si="0"/>
        <v>2.5</v>
      </c>
      <c r="K18" t="str">
        <f t="shared" si="1"/>
        <v>Short Attendance</v>
      </c>
      <c r="L18" t="str">
        <f t="shared" si="2"/>
        <v>Attendance Issue</v>
      </c>
      <c r="M18" t="str">
        <f t="shared" si="3"/>
        <v>Discipline / Not Allowed</v>
      </c>
    </row>
    <row r="19" spans="1:13" x14ac:dyDescent="0.3">
      <c r="A19" t="s">
        <v>30</v>
      </c>
      <c r="B19">
        <v>18</v>
      </c>
      <c r="C19">
        <v>3.3</v>
      </c>
      <c r="D19">
        <v>3.5</v>
      </c>
      <c r="E19">
        <v>3.4</v>
      </c>
      <c r="F19">
        <v>84</v>
      </c>
      <c r="G19">
        <v>86</v>
      </c>
      <c r="H19">
        <v>85</v>
      </c>
      <c r="I19">
        <v>15</v>
      </c>
      <c r="J19">
        <f t="shared" si="0"/>
        <v>3.4</v>
      </c>
      <c r="K19" t="str">
        <f t="shared" si="1"/>
        <v>Eligible</v>
      </c>
      <c r="L19" t="str">
        <f t="shared" si="2"/>
        <v>Normal</v>
      </c>
      <c r="M19" t="str">
        <f t="shared" si="3"/>
        <v>Allowed</v>
      </c>
    </row>
    <row r="20" spans="1:13" x14ac:dyDescent="0.3">
      <c r="A20" t="s">
        <v>31</v>
      </c>
      <c r="B20">
        <v>19</v>
      </c>
      <c r="C20">
        <v>2.8</v>
      </c>
      <c r="D20">
        <v>3</v>
      </c>
      <c r="E20">
        <v>2.9</v>
      </c>
      <c r="F20">
        <v>81</v>
      </c>
      <c r="G20">
        <v>82</v>
      </c>
      <c r="H20">
        <v>80</v>
      </c>
      <c r="I20">
        <v>15</v>
      </c>
      <c r="J20">
        <f t="shared" si="0"/>
        <v>2.9</v>
      </c>
      <c r="K20" t="str">
        <f t="shared" si="1"/>
        <v>Eligible</v>
      </c>
      <c r="L20" t="str">
        <f t="shared" si="2"/>
        <v>Normal</v>
      </c>
      <c r="M20" t="str">
        <f t="shared" si="3"/>
        <v>Allowed</v>
      </c>
    </row>
    <row r="21" spans="1:13" x14ac:dyDescent="0.3">
      <c r="A21" t="s">
        <v>32</v>
      </c>
      <c r="B21">
        <v>20</v>
      </c>
      <c r="C21">
        <v>3.6</v>
      </c>
      <c r="D21">
        <v>3.7</v>
      </c>
      <c r="E21">
        <v>3.5</v>
      </c>
      <c r="F21">
        <v>91</v>
      </c>
      <c r="G21">
        <v>92</v>
      </c>
      <c r="H21">
        <v>90</v>
      </c>
      <c r="I21">
        <v>15</v>
      </c>
      <c r="J21">
        <f t="shared" si="0"/>
        <v>3.6</v>
      </c>
      <c r="K21" t="str">
        <f t="shared" si="1"/>
        <v>Eligible</v>
      </c>
      <c r="L21" t="str">
        <f t="shared" si="2"/>
        <v>Normal</v>
      </c>
      <c r="M21" t="str">
        <f t="shared" si="3"/>
        <v>Allowed</v>
      </c>
    </row>
  </sheetData>
  <conditionalFormatting sqref="F2:H21">
    <cfRule type="expression" dxfId="8" priority="19">
      <formula>MIN($F2:$H2)&lt;75</formula>
    </cfRule>
  </conditionalFormatting>
  <conditionalFormatting sqref="J2:J21">
    <cfRule type="cellIs" dxfId="7" priority="16" operator="lessThan">
      <formula>2</formula>
    </cfRule>
    <cfRule type="cellIs" dxfId="6" priority="17" operator="between">
      <formula>2</formula>
      <formula>2.99</formula>
    </cfRule>
    <cfRule type="cellIs" dxfId="5" priority="18" operator="greaterThanOrEqual">
      <formula>3</formula>
    </cfRule>
  </conditionalFormatting>
  <conditionalFormatting sqref="L2:L21">
    <cfRule type="expression" dxfId="4" priority="20">
      <formula>$L2="Low GPA"</formula>
    </cfRule>
    <cfRule type="expression" dxfId="3" priority="21">
      <formula>$L2="Attendance Issue"</formula>
    </cfRule>
    <cfRule type="expression" dxfId="2" priority="22">
      <formula>$L2="Normal"</formula>
    </cfRule>
  </conditionalFormatting>
  <conditionalFormatting sqref="M2:M21">
    <cfRule type="expression" dxfId="1" priority="23">
      <formula>$M2="Discipline / Not Allowed"</formula>
    </cfRule>
    <cfRule type="expression" dxfId="0" priority="24">
      <formula>$M2="Allowed"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3" sqref="A3"/>
    </sheetView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Records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Bin Asif</cp:lastModifiedBy>
  <dcterms:created xsi:type="dcterms:W3CDTF">2026-01-07T09:48:34Z</dcterms:created>
  <dcterms:modified xsi:type="dcterms:W3CDTF">2026-01-07T10:00:44Z</dcterms:modified>
</cp:coreProperties>
</file>